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bookViews>
    <workbookView xWindow="0" yWindow="0" windowWidth="20490" windowHeight="762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8" l="1"/>
  <c r="B28" i="18" s="1"/>
  <c r="C23" i="20"/>
  <c r="C22" i="19" a="1"/>
  <c r="C22" i="19" s="1"/>
  <c r="C16" i="16"/>
  <c r="B16" i="16"/>
  <c r="C24" i="20"/>
  <c r="C25" i="20"/>
  <c r="C26" i="20"/>
  <c r="C27" i="20"/>
  <c r="C28" i="20"/>
  <c r="C29" i="20"/>
  <c r="C30" i="20"/>
  <c r="C31" i="20"/>
  <c r="C32" i="20"/>
  <c r="C33" i="20"/>
  <c r="C34" i="20"/>
  <c r="C35" i="20"/>
  <c r="H41" i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F28" i="18"/>
  <c r="E28" i="18"/>
  <c r="D28" i="18"/>
  <c r="C28" i="18"/>
  <c r="C30" i="18"/>
  <c r="D30" i="18"/>
  <c r="E30" i="18"/>
  <c r="F30" i="18"/>
  <c r="C29" i="18"/>
  <c r="D29" i="18"/>
  <c r="E29" i="18"/>
  <c r="F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30" i="18" l="1"/>
  <c r="B29" i="18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<sst xmlns="http://schemas.openxmlformats.org/spreadsheetml/2006/main" count="327" uniqueCount="182">
  <si>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</si>
  <si>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</si>
  <si>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</si>
  <si>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</si>
  <si>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</si>
  <si>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</si>
  <si>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</si>
  <si>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</si>
  <si>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</si>
  <si>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</si>
  <si>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</si>
  <si>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</si>
  <si>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</si>
  <si>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</si>
  <si>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</si>
  <si>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</si>
  <si>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</si>
  <si>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</si>
  <si>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</si>
  <si>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</si>
  <si>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</si>
  <si>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</si>
  <si>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</si>
  <si>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</si>
  <si>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</si>
  <si>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</si>
  <si>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</si>
  <si>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</si>
  <si>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</si>
  <si>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</si>
  <si>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</si>
  <si>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</si>
  <si>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</si>
  <si>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</si>
  <si>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</si>
  <si>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</si>
  <si>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</si>
  <si>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</si>
  <si>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</si>
  <si>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</si>
  <si>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</si>
  <si>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</si>
  <si>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</si>
  <si>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</si>
  <si>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</si>
  <si>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</si>
  <si>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</si>
  <si>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</si>
  <si>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</si>
  <si>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</si>
  <si>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</si>
  <si>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</si>
  <si>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</si>
  <si>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</si>
  <si>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</si>
  <si>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</si>
  <si>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</si>
  <si>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</si>
  <si>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</si>
  <si>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</si>
  <si>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</si>
  <si>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</si>
  <si>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</si>
  <si>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</si>
  <si>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</si>
  <si>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</si>
  <si>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</si>
  <si>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</si>
  <si>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</si>
  <si>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</si>
  <si>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</si>
  <si>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</si>
  <si>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</si>
  <si>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</si>
  <si>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</si>
  <si>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</si>
  <si>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</si>
  <si>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</si>
  <si>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</si>
  <si>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</si>
  <si>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</si>
  <si>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</si>
  <si>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</si>
  <si>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</si>
  <si>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</si>
  <si>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</si>
  <si>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</si>
  <si>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</si>
  <si>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</si>
  <si>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</si>
  <si>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</si>
  <si>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</si>
  <si>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</si>
  <si>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</si>
  <si>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</si>
  <si>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</si>
  <si>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</si>
  <si>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</si>
  <si>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</si>
  <si>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</si>
  <si>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</si>
  <si>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</si>
  <si>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</si>
  <si>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</si>
  <si>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</si>
  <si>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</si>
  <si>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</si>
  <si>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</si>
  <si>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</si>
  <si>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</si>
  <si>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</si>
  <si>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</si>
  <si>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</si>
  <si>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</si>
  <si>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</si>
  <si>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</si>
  <si>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</si>
  <si>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</si>
  <si>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</si>
  <si>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</si>
  <si>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</si>
  <si>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</si>
  <si>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</si>
  <si>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</si>
  <si>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</si>
  <si>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</si>
  <si>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</si>
  <si>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</si>
  <si>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</si>
  <si>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</si>
  <si>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</si>
  <si>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</si>
  <si>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</si>
  <si>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</si>
  <si>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</si>
  <si>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</si>
  <si>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</si>
  <si>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</si>
  <si>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</si>
  <si>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</si>
  <si>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</si>
  <si>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</si>
  <si>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</si>
  <si>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</si>
  <si>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</si>
  <si>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</si>
  <si>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</si>
  <si>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</si>
  <si>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</si>
  <si>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</si>
  <si>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</si>
  <si>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</si>
  <si>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</si>
  <si>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</si>
  <si>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</si>
  <si>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</si>
  <si>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</si>
  <si>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</si>
  <si>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</si>
  <si>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</si>
  <si>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</si>
  <si>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</si>
  <si>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</si>
  <si>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</si>
  <si>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</si>
  <si>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</si>
  <si>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</si>
  <si>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</si>
  <si>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</si>
  <si>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</si>
  <si>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</si>
  <si>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</si>
  <si>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</si>
  <si>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</si>
  <si>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</si>
  <si>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</si>
  <si>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</si>
  <si>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</si>
  <si>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</t>
  </si>
  <si>
    <t>SUMIF(H2:H40,"&gt;20")</t>
  </si>
  <si>
    <t>SUM(IFNA(C12:C21, 20))</t>
  </si>
  <si>
    <t>I have used SUM function along with IFNA function to calculate the sum and also replace the values of #N/A with digit 20 and include the replaced value of #N/A in the sum. I have used Ctrl+ shift+enter to run the array formula.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</si>
</sst>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9C0006"/>
      </font>
    </dxf>
    <dxf>
      <fill>
        <patternFill>
          <bgColor theme="9"/>
        </patternFill>
      </fill>
    </dxf>
    <dxf>
      <fill>
        <patternFill>
          <bgColor rgb="FFFF0D0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colors>
    <mruColors>
      <color rgb="FFFF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Z32" sqref="Z3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25">
      <c r="G41" s="1" t="s">
        <v>178</v>
      </c>
      <c r="H41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J2:L40">
    <cfRule type="containsText" dxfId="1" priority="2" operator="containsText" text="0">
      <formula>NOT(ISERROR(SEARCH("0",J2)))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1B565074-4111-4638-AA79-375481F6E809}">
            <xm:f>NOT(ISERROR(SEARCH(-1,J2)))</xm:f>
            <xm:f>-1</xm:f>
            <x14:dxf>
              <font>
                <color rgb="FF9C0006"/>
              </font>
            </x14:dxf>
          </x14:cfRule>
          <x14:cfRule type="containsText" priority="1" operator="containsText" id="{4C98EF19-67ED-4C3A-B63D-D394A5EC6DD2}">
            <xm:f>NOT(ISERROR(SEARCH(-1,J2)))</xm:f>
            <xm:f>-1</xm:f>
            <x14:dxf>
              <fill>
                <patternFill>
                  <bgColor rgb="FFFF0D0D"/>
                </patternFill>
              </fill>
            </x14:dxf>
          </x14:cfRule>
          <xm:sqref>J2:L40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F5" sqref="F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0" style="1" bestFit="1" customWidth="1"/>
    <col min="4" max="4" width="23.1640625" style="1" bestFit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D5" s="1" t="s">
        <v>179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5" zoomScaleNormal="100" workbookViewId="0">
      <selection activeCell="B7" sqref="B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165</v>
      </c>
    </row>
    <row r="2" spans="1:7" s="40" customFormat="1" ht="21" x14ac:dyDescent="0.35">
      <c r="B2" s="40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INDEX(Dataset!$G$2:$G$40, MATCH(A6, Dataset!$A$2:$A$40, 0))</f>
        <v>2.7</v>
      </c>
      <c r="C6" s="11">
        <f>INDEX(Dataset!$N$2:$N$40, MATCH(A6, Dataset!$A$2:$A$40, 0))</f>
        <v>7.6</v>
      </c>
      <c r="D6" s="11">
        <f>INDEX(Dataset!$R$2:$R$40, MATCH(A6, Dataset!$A$2:$A$40, 0))</f>
        <v>4.2</v>
      </c>
      <c r="E6" s="11">
        <f>INDEX(Dataset!$T$2:$T$40, MATCH(A6, Dataset!$A$2:$A$40, 0))</f>
        <v>8.9</v>
      </c>
      <c r="F6" s="8">
        <f>INDEX(Dataset!$V$2:$V$40, MATCH(A6, Dataset!$A$2:$A$40, 0))</f>
        <v>4.2</v>
      </c>
    </row>
    <row r="7" spans="1:7" ht="15" x14ac:dyDescent="0.25">
      <c r="A7" s="7" t="s">
        <v>4</v>
      </c>
      <c r="B7" s="11">
        <f>INDEX(Dataset!$G$2:$G$40, MATCH(A7, Dataset!$A$2:$A$40, 0))</f>
        <v>2.7</v>
      </c>
      <c r="C7" s="11">
        <f>INDEX(Dataset!$N$2:$N$40, MATCH(A7, Dataset!$A$2:$A$40, 0))</f>
        <v>7.6</v>
      </c>
      <c r="D7" s="11">
        <f>INDEX(Dataset!$R$2:$R$40, MATCH(A7, Dataset!$A$2:$A$40, 0))</f>
        <v>4.2</v>
      </c>
      <c r="E7" s="11">
        <f>INDEX(Dataset!$T$2:$T$40, MATCH(A7, Dataset!$A$2:$A$40, 0))</f>
        <v>8.9</v>
      </c>
      <c r="F7" s="8">
        <f>INDEX(Dataset!$V$2:$V$40, MATCH(A7, Dataset!$A$2:$A$40, 0))</f>
        <v>4.2</v>
      </c>
    </row>
    <row r="8" spans="1:7" ht="15" x14ac:dyDescent="0.25">
      <c r="A8" s="7" t="s">
        <v>7</v>
      </c>
      <c r="B8" s="11">
        <f>INDEX(Dataset!$G$2:$G$40, MATCH(A8, Dataset!$A$2:$A$40, 0))</f>
        <v>3.6</v>
      </c>
      <c r="C8" s="11">
        <f>INDEX(Dataset!$N$2:$N$40, MATCH(A8, Dataset!$A$2:$A$40, 0))</f>
        <v>11.1</v>
      </c>
      <c r="D8" s="11">
        <f>INDEX(Dataset!$R$2:$R$40, MATCH(A8, Dataset!$A$2:$A$40, 0))</f>
        <v>5.8</v>
      </c>
      <c r="E8" s="11">
        <f>INDEX(Dataset!$T$2:$T$40, MATCH(A8, Dataset!$A$2:$A$40, 0))</f>
        <v>12.2</v>
      </c>
      <c r="F8" s="8">
        <f>INDEX(Dataset!$V$2:$V$40, MATCH(A8, Dataset!$A$2:$A$40, 0))</f>
        <v>5.8</v>
      </c>
    </row>
    <row r="9" spans="1:7" ht="15" x14ac:dyDescent="0.25">
      <c r="A9" s="7" t="s">
        <v>8</v>
      </c>
      <c r="B9" s="11">
        <f>INDEX(Dataset!$G$2:$G$40, MATCH(A9, Dataset!$A$2:$A$40, 0))</f>
        <v>4.9000000000000004</v>
      </c>
      <c r="C9" s="11">
        <f>INDEX(Dataset!$N$2:$N$40, MATCH(A9, Dataset!$A$2:$A$40, 0))</f>
        <v>13.3</v>
      </c>
      <c r="D9" s="11">
        <f>INDEX(Dataset!$R$2:$R$40, MATCH(A9, Dataset!$A$2:$A$40, 0))</f>
        <v>8.1</v>
      </c>
      <c r="E9" s="11">
        <f>INDEX(Dataset!$T$2:$T$40, MATCH(A9, Dataset!$A$2:$A$40, 0))</f>
        <v>17</v>
      </c>
      <c r="F9" s="8">
        <f>INDEX(Dataset!$V$2:$V$40, MATCH(A9, Dataset!$A$2:$A$40, 0))</f>
        <v>8.1</v>
      </c>
    </row>
    <row r="10" spans="1:7" ht="15" x14ac:dyDescent="0.25">
      <c r="A10" s="7" t="s">
        <v>11</v>
      </c>
      <c r="B10" s="11">
        <f>INDEX(Dataset!$G$2:$G$40, MATCH(A10, Dataset!$A$2:$A$40, 0))</f>
        <v>9.4</v>
      </c>
      <c r="C10" s="11">
        <f>INDEX(Dataset!$N$2:$N$40, MATCH(A10, Dataset!$A$2:$A$40, 0))</f>
        <v>28.3</v>
      </c>
      <c r="D10" s="11">
        <f>INDEX(Dataset!$R$2:$R$40, MATCH(A10, Dataset!$A$2:$A$40, 0))</f>
        <v>16.100000000000001</v>
      </c>
      <c r="E10" s="11">
        <f>INDEX(Dataset!$T$2:$T$40, MATCH(A10, Dataset!$A$2:$A$40, 0))</f>
        <v>32.799999999999997</v>
      </c>
      <c r="F10" s="8">
        <f>INDEX(Dataset!$V$2:$V$40, MATCH(A10, Dataset!$A$2:$A$40, 0))</f>
        <v>16.100000000000001</v>
      </c>
    </row>
    <row r="11" spans="1:7" ht="15" x14ac:dyDescent="0.25">
      <c r="A11" s="7" t="s">
        <v>12</v>
      </c>
      <c r="B11" s="11">
        <f>INDEX(Dataset!$G$2:$G$40, MATCH(A11, Dataset!$A$2:$A$40, 0))</f>
        <v>11.6</v>
      </c>
      <c r="C11" s="11">
        <f>INDEX(Dataset!$N$2:$N$40, MATCH(A11, Dataset!$A$2:$A$40, 0))</f>
        <v>35.200000000000003</v>
      </c>
      <c r="D11" s="11">
        <f>INDEX(Dataset!$R$2:$R$40, MATCH(A11, Dataset!$A$2:$A$40, 0))</f>
        <v>21.3</v>
      </c>
      <c r="E11" s="11">
        <f>INDEX(Dataset!$T$2:$T$40, MATCH(A11, Dataset!$A$2:$A$40, 0))</f>
        <v>43</v>
      </c>
      <c r="F11" s="8">
        <f>INDEX(Dataset!$V$2:$V$40, MATCH(A11, Dataset!$A$2:$A$40, 0))</f>
        <v>21.3</v>
      </c>
    </row>
    <row r="12" spans="1:7" ht="15" x14ac:dyDescent="0.25">
      <c r="A12" s="7" t="s">
        <v>14</v>
      </c>
      <c r="B12" s="11">
        <f>INDEX(Dataset!$G$2:$G$40, MATCH(A12, Dataset!$A$2:$A$40, 0))</f>
        <v>18.399999999999999</v>
      </c>
      <c r="C12" s="11">
        <f>INDEX(Dataset!$N$2:$N$40, MATCH(A12, Dataset!$A$2:$A$40, 0))</f>
        <v>55.6</v>
      </c>
      <c r="D12" s="11">
        <f>INDEX(Dataset!$R$2:$R$40, MATCH(A12, Dataset!$A$2:$A$40, 0))</f>
        <v>33.799999999999997</v>
      </c>
      <c r="E12" s="11">
        <f>INDEX(Dataset!$T$2:$T$40, MATCH(A12, Dataset!$A$2:$A$40, 0))</f>
        <v>67.900000000000006</v>
      </c>
      <c r="F12" s="8">
        <f>INDEX(Dataset!$V$2:$V$40, MATCH(A12, Dataset!$A$2:$A$40, 0))</f>
        <v>33.799999999999997</v>
      </c>
    </row>
    <row r="13" spans="1:7" ht="15" x14ac:dyDescent="0.25">
      <c r="A13" s="7" t="s">
        <v>15</v>
      </c>
      <c r="B13" s="11">
        <f>INDEX(Dataset!$G$2:$G$40, MATCH(A13, Dataset!$A$2:$A$40, 0))</f>
        <v>0</v>
      </c>
      <c r="C13" s="11">
        <f>INDEX(Dataset!$N$2:$N$40, MATCH(A13, Dataset!$A$2:$A$40, 0))</f>
        <v>0</v>
      </c>
      <c r="D13" s="11">
        <f>INDEX(Dataset!$R$2:$R$40, MATCH(A13, Dataset!$A$2:$A$40, 0))</f>
        <v>0</v>
      </c>
      <c r="E13" s="11">
        <f>INDEX(Dataset!$T$2:$T$40, MATCH(A13, Dataset!$A$2:$A$40, 0))</f>
        <v>0</v>
      </c>
      <c r="F13" s="8">
        <f>INDEX(Dataset!$V$2:$V$40, MATCH(A13, Dataset!$A$2:$A$40, 0))</f>
        <v>0</v>
      </c>
    </row>
    <row r="14" spans="1:7" ht="15" x14ac:dyDescent="0.25">
      <c r="A14" s="7" t="s">
        <v>16</v>
      </c>
      <c r="B14" s="11">
        <f>INDEX(Dataset!$G$2:$G$40, MATCH(A14, Dataset!$A$2:$A$40, 0))</f>
        <v>21.9</v>
      </c>
      <c r="C14" s="11">
        <f>INDEX(Dataset!$N$2:$N$40, MATCH(A14, Dataset!$A$2:$A$40, 0))</f>
        <v>61.5</v>
      </c>
      <c r="D14" s="11">
        <f>INDEX(Dataset!$R$2:$R$40, MATCH(A14, Dataset!$A$2:$A$40, 0))</f>
        <v>40.1</v>
      </c>
      <c r="E14" s="11">
        <f>INDEX(Dataset!$T$2:$T$40, MATCH(A14, Dataset!$A$2:$A$40, 0))</f>
        <v>76.599999999999994</v>
      </c>
      <c r="F14" s="8">
        <f>INDEX(Dataset!$V$2:$V$40, MATCH(A14, Dataset!$A$2:$A$40, 0))</f>
        <v>40.1</v>
      </c>
    </row>
    <row r="15" spans="1:7" ht="15" x14ac:dyDescent="0.25">
      <c r="A15" s="7" t="s">
        <v>18</v>
      </c>
      <c r="B15" s="11">
        <f>INDEX(Dataset!$G$2:$G$40, MATCH(A15, Dataset!$A$2:$A$40, 0))</f>
        <v>26.8</v>
      </c>
      <c r="C15" s="11">
        <f>INDEX(Dataset!$N$2:$N$40, MATCH(A15, Dataset!$A$2:$A$40, 0))</f>
        <v>79.599999999999994</v>
      </c>
      <c r="D15" s="11">
        <f>INDEX(Dataset!$R$2:$R$40, MATCH(A15, Dataset!$A$2:$A$40, 0))</f>
        <v>47.9</v>
      </c>
      <c r="E15" s="11">
        <f>INDEX(Dataset!$T$2:$T$40, MATCH(A15, Dataset!$A$2:$A$40, 0))</f>
        <v>96.8</v>
      </c>
      <c r="F15" s="8">
        <f>INDEX(Dataset!$V$2:$V$40, MATCH(A15, Dataset!$A$2:$A$40, 0))</f>
        <v>47.9</v>
      </c>
    </row>
    <row r="16" spans="1:7" ht="15" x14ac:dyDescent="0.25">
      <c r="A16" s="7" t="s">
        <v>20</v>
      </c>
      <c r="B16" s="11">
        <f>INDEX(Dataset!$G$2:$G$40, MATCH(A16, Dataset!$A$2:$A$40, 0))</f>
        <v>28.5</v>
      </c>
      <c r="C16" s="11">
        <f>INDEX(Dataset!$N$2:$N$40, MATCH(A16, Dataset!$A$2:$A$40, 0))</f>
        <v>85.4</v>
      </c>
      <c r="D16" s="11">
        <f>INDEX(Dataset!$R$2:$R$40, MATCH(A16, Dataset!$A$2:$A$40, 0))</f>
        <v>52.3</v>
      </c>
      <c r="E16" s="11">
        <f>INDEX(Dataset!$T$2:$T$40, MATCH(A16, Dataset!$A$2:$A$40, 0))</f>
        <v>106.1</v>
      </c>
      <c r="F16" s="8">
        <f>INDEX(Dataset!$V$2:$V$40, MATCH(A16, Dataset!$A$2:$A$40, 0))</f>
        <v>52.3</v>
      </c>
    </row>
    <row r="17" spans="1:6" ht="15" x14ac:dyDescent="0.25">
      <c r="A17" s="7" t="s">
        <v>22</v>
      </c>
      <c r="B17" s="11">
        <f>INDEX(Dataset!$G$2:$G$40, MATCH(A17, Dataset!$A$2:$A$40, 0))</f>
        <v>30.7</v>
      </c>
      <c r="C17" s="11">
        <f>INDEX(Dataset!$N$2:$N$40, MATCH(A17, Dataset!$A$2:$A$40, 0))</f>
        <v>92.1</v>
      </c>
      <c r="D17" s="11">
        <f>INDEX(Dataset!$R$2:$R$40, MATCH(A17, Dataset!$A$2:$A$40, 0))</f>
        <v>57</v>
      </c>
      <c r="E17" s="11">
        <f>INDEX(Dataset!$T$2:$T$40, MATCH(A17, Dataset!$A$2:$A$40, 0))</f>
        <v>115.1</v>
      </c>
      <c r="F17" s="8">
        <f>INDEX(Dataset!$V$2:$V$40, MATCH(A17, Dataset!$A$2:$A$40, 0))</f>
        <v>57</v>
      </c>
    </row>
    <row r="18" spans="1:6" ht="15" x14ac:dyDescent="0.25">
      <c r="A18" s="7" t="s">
        <v>23</v>
      </c>
      <c r="B18" s="11">
        <f>INDEX(Dataset!$G$2:$G$40, MATCH(A18, Dataset!$A$2:$A$40, 0))</f>
        <v>33.799999999999997</v>
      </c>
      <c r="C18" s="11">
        <f>INDEX(Dataset!$N$2:$N$40, MATCH(A18, Dataset!$A$2:$A$40, 0))</f>
        <v>101.3</v>
      </c>
      <c r="D18" s="11">
        <f>INDEX(Dataset!$R$2:$R$40, MATCH(A18, Dataset!$A$2:$A$40, 0))</f>
        <v>61.4</v>
      </c>
      <c r="E18" s="11">
        <f>INDEX(Dataset!$T$2:$T$40, MATCH(A18, Dataset!$A$2:$A$40, 0))</f>
        <v>124.4</v>
      </c>
      <c r="F18" s="8">
        <f>INDEX(Dataset!$V$2:$V$40, MATCH(A18, Dataset!$A$2:$A$40, 0))</f>
        <v>61.4</v>
      </c>
    </row>
    <row r="19" spans="1:6" ht="15" x14ac:dyDescent="0.25">
      <c r="A19" s="7" t="s">
        <v>24</v>
      </c>
      <c r="B19" s="11">
        <f>INDEX(Dataset!$G$2:$G$40, MATCH(A19, Dataset!$A$2:$A$40, 0))</f>
        <v>34.700000000000003</v>
      </c>
      <c r="C19" s="11">
        <f>INDEX(Dataset!$N$2:$N$40, MATCH(A19, Dataset!$A$2:$A$40, 0))</f>
        <v>106.1</v>
      </c>
      <c r="D19" s="11">
        <f>INDEX(Dataset!$R$2:$R$40, MATCH(A19, Dataset!$A$2:$A$40, 0))</f>
        <v>63.6</v>
      </c>
      <c r="E19" s="11">
        <f>INDEX(Dataset!$T$2:$T$40, MATCH(A19, Dataset!$A$2:$A$40, 0))</f>
        <v>128.6</v>
      </c>
      <c r="F19" s="8">
        <f>INDEX(Dataset!$V$2:$V$40, MATCH(A19, Dataset!$A$2:$A$40, 0))</f>
        <v>63.6</v>
      </c>
    </row>
    <row r="20" spans="1:6" ht="15" x14ac:dyDescent="0.25">
      <c r="A20" s="7" t="s">
        <v>28</v>
      </c>
      <c r="B20" s="11">
        <f>INDEX(Dataset!$G$2:$G$40, MATCH(A20, Dataset!$A$2:$A$40, 0))</f>
        <v>0</v>
      </c>
      <c r="C20" s="11">
        <f>INDEX(Dataset!$N$2:$N$40, MATCH(A20, Dataset!$A$2:$A$40, 0))</f>
        <v>0</v>
      </c>
      <c r="D20" s="11">
        <f>INDEX(Dataset!$R$2:$R$40, MATCH(A20, Dataset!$A$2:$A$40, 0))</f>
        <v>0</v>
      </c>
      <c r="E20" s="11">
        <f>INDEX(Dataset!$T$2:$T$40, MATCH(A20, Dataset!$A$2:$A$40, 0))</f>
        <v>0</v>
      </c>
      <c r="F20" s="8">
        <f>INDEX(Dataset!$V$2:$V$40, MATCH(A20, Dataset!$A$2:$A$40, 0))</f>
        <v>0</v>
      </c>
    </row>
    <row r="21" spans="1:6" ht="15" x14ac:dyDescent="0.25">
      <c r="A21" s="7" t="s">
        <v>57</v>
      </c>
      <c r="B21" s="11">
        <f>INDEX(Dataset!$G$2:$G$40, MATCH(A21, Dataset!$A$2:$A$40, 0))</f>
        <v>41.3</v>
      </c>
      <c r="C21" s="11">
        <f>INDEX(Dataset!$N$2:$N$40, MATCH(A21, Dataset!$A$2:$A$40, 0))</f>
        <v>124.4</v>
      </c>
      <c r="D21" s="11">
        <f>INDEX(Dataset!$R$2:$R$40, MATCH(A21, Dataset!$A$2:$A$40, 0))</f>
        <v>75</v>
      </c>
      <c r="E21" s="11">
        <f>INDEX(Dataset!$T$2:$T$40, MATCH(A21, Dataset!$A$2:$A$40, 0))</f>
        <v>151.5</v>
      </c>
      <c r="F21" s="8">
        <f>INDEX(Dataset!$V$2:$V$40, MATCH(A21, Dataset!$A$2:$A$40, 0))</f>
        <v>75</v>
      </c>
    </row>
    <row r="22" spans="1:6" ht="15" x14ac:dyDescent="0.25">
      <c r="A22" s="7" t="s">
        <v>58</v>
      </c>
      <c r="B22" s="11">
        <f>INDEX(Dataset!$G$2:$G$40, MATCH(A22, Dataset!$A$2:$A$40, 0))</f>
        <v>-1</v>
      </c>
      <c r="C22" s="11">
        <f>INDEX(Dataset!$N$2:$N$40, MATCH(A22, Dataset!$A$2:$A$40, 0))</f>
        <v>-1</v>
      </c>
      <c r="D22" s="11">
        <f>INDEX(Dataset!$R$2:$R$40, MATCH(A22, Dataset!$A$2:$A$40, 0))</f>
        <v>-1</v>
      </c>
      <c r="E22" s="11">
        <f>INDEX(Dataset!$T$2:$T$40, MATCH(A22, Dataset!$A$2:$A$40, 0))</f>
        <v>-1</v>
      </c>
      <c r="F22" s="8">
        <f>INDEX(Dataset!$V$2:$V$40, MATCH(A22, Dataset!$A$2:$A$40, 0))</f>
        <v>-1</v>
      </c>
    </row>
    <row r="23" spans="1:6" ht="15" x14ac:dyDescent="0.25">
      <c r="A23" s="7" t="s">
        <v>31</v>
      </c>
      <c r="B23" s="11">
        <f>INDEX(Dataset!$G$2:$G$40, MATCH(A23, Dataset!$A$2:$A$40, 0))</f>
        <v>45</v>
      </c>
      <c r="C23" s="11">
        <f>INDEX(Dataset!$N$2:$N$40, MATCH(A23, Dataset!$A$2:$A$40, 0))</f>
        <v>133.4</v>
      </c>
      <c r="D23" s="11">
        <f>INDEX(Dataset!$R$2:$R$40, MATCH(A23, Dataset!$A$2:$A$40, 0))</f>
        <v>79.400000000000006</v>
      </c>
      <c r="E23" s="11">
        <f>INDEX(Dataset!$T$2:$T$40, MATCH(A23, Dataset!$A$2:$A$40, 0))</f>
        <v>160.9</v>
      </c>
      <c r="F23" s="8">
        <f>INDEX(Dataset!$V$2:$V$40, MATCH(A23, Dataset!$A$2:$A$40, 0))</f>
        <v>79.400000000000006</v>
      </c>
    </row>
    <row r="24" spans="1:6" ht="15" x14ac:dyDescent="0.25">
      <c r="A24" s="7" t="s">
        <v>32</v>
      </c>
      <c r="B24" s="11">
        <f>INDEX(Dataset!$G$2:$G$40, MATCH(A24, Dataset!$A$2:$A$40, 0))</f>
        <v>-1</v>
      </c>
      <c r="C24" s="11">
        <f>INDEX(Dataset!$N$2:$N$40, MATCH(A24, Dataset!$A$2:$A$40, 0))</f>
        <v>-1</v>
      </c>
      <c r="D24" s="11">
        <f>INDEX(Dataset!$R$2:$R$40, MATCH(A24, Dataset!$A$2:$A$40, 0))</f>
        <v>-1</v>
      </c>
      <c r="E24" s="11">
        <f>INDEX(Dataset!$T$2:$T$40, MATCH(A24, Dataset!$A$2:$A$40, 0))</f>
        <v>-1</v>
      </c>
      <c r="F24" s="8">
        <f>INDEX(Dataset!$V$2:$V$40, MATCH(A24, Dataset!$A$2:$A$40, 0))</f>
        <v>-1</v>
      </c>
    </row>
    <row r="25" spans="1:6" ht="15" x14ac:dyDescent="0.25">
      <c r="A25" s="7" t="s">
        <v>34</v>
      </c>
      <c r="B25" s="11">
        <f>INDEX(Dataset!$G$2:$G$40, MATCH(A25, Dataset!$A$2:$A$40, 0))</f>
        <v>43.3</v>
      </c>
      <c r="C25" s="11">
        <f>INDEX(Dataset!$N$2:$N$40, MATCH(A25, Dataset!$A$2:$A$40, 0))</f>
        <v>128.6</v>
      </c>
      <c r="D25" s="11">
        <f>INDEX(Dataset!$R$2:$R$40, MATCH(A25, Dataset!$A$2:$A$40, 0))</f>
        <v>79.400000000000006</v>
      </c>
      <c r="E25" s="11">
        <f>INDEX(Dataset!$T$2:$T$40, MATCH(A25, Dataset!$A$2:$A$40, 0))</f>
        <v>160.9</v>
      </c>
      <c r="F25" s="8">
        <f>INDEX(Dataset!$V$2:$V$40, MATCH(A25, Dataset!$A$2:$A$40, 0))</f>
        <v>79.400000000000006</v>
      </c>
    </row>
    <row r="26" spans="1:6" ht="15" x14ac:dyDescent="0.25">
      <c r="A26" s="7" t="s">
        <v>37</v>
      </c>
      <c r="B26" s="11">
        <f>INDEX(Dataset!$G$2:$G$40, MATCH(A26, Dataset!$A$2:$A$40, 0))</f>
        <v>49.1</v>
      </c>
      <c r="C26" s="11">
        <f>INDEX(Dataset!$N$2:$N$40, MATCH(A26, Dataset!$A$2:$A$40, 0))</f>
        <v>146.80000000000001</v>
      </c>
      <c r="D26" s="11">
        <f>INDEX(Dataset!$R$2:$R$40, MATCH(A26, Dataset!$A$2:$A$40, 0))</f>
        <v>90.9</v>
      </c>
      <c r="E26" s="11">
        <f>INDEX(Dataset!$T$2:$T$40, MATCH(A26, Dataset!$A$2:$A$40, 0))</f>
        <v>183.5</v>
      </c>
      <c r="F26" s="8">
        <f>INDEX(Dataset!$V$2:$V$40, MATCH(A26, Dataset!$A$2:$A$40, 0))</f>
        <v>90.9</v>
      </c>
    </row>
    <row r="27" spans="1:6" ht="15" x14ac:dyDescent="0.25">
      <c r="A27" s="7" t="s">
        <v>39</v>
      </c>
      <c r="B27" s="11">
        <f>INDEX(Dataset!$G$2:$G$40, MATCH(A27, Dataset!$A$2:$A$40, 0))</f>
        <v>51.8</v>
      </c>
      <c r="C27" s="11">
        <f>INDEX(Dataset!$N$2:$N$40, MATCH(A27, Dataset!$A$2:$A$40, 0))</f>
        <v>156.4</v>
      </c>
      <c r="D27" s="11">
        <f>INDEX(Dataset!$R$2:$R$40, MATCH(A27, Dataset!$A$2:$A$40, 0))</f>
        <v>93.1</v>
      </c>
      <c r="E27" s="11">
        <f>INDEX(Dataset!$T$2:$T$40, MATCH(A27, Dataset!$A$2:$A$40, 0))</f>
        <v>188.1</v>
      </c>
      <c r="F27" s="8">
        <f>INDEX(Dataset!$V$2:$V$40, MATCH(A27, Dataset!$A$2:$A$40, 0))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0">MAX(C6:C27)</f>
        <v>156.4</v>
      </c>
      <c r="D29" s="30">
        <f t="shared" si="0"/>
        <v>93.1</v>
      </c>
      <c r="E29" s="30">
        <f t="shared" si="0"/>
        <v>188.1</v>
      </c>
      <c r="F29" s="30">
        <f t="shared" si="0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1">AVERAGE(C6:C27)</f>
        <v>62.377272727272725</v>
      </c>
      <c r="D30" s="30">
        <f t="shared" si="1"/>
        <v>37.800000000000004</v>
      </c>
      <c r="E30" s="30">
        <f t="shared" si="1"/>
        <v>76.418181818181822</v>
      </c>
      <c r="F30" s="30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0" zoomScaleNormal="100" workbookViewId="0">
      <selection activeCell="C17" sqref="C1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154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166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122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MID(A16, FIND("-", A16, FIND("-", A16, FIND("-", A16, FIND("-", A16) + 1) + 1) + 1) + 1, LEN(A16) - FIND("-", A16, FIND("-", A16, FIND("-", A16, FIND("-", A16) + 1) + 1) + 1))</f>
        <v>24</v>
      </c>
    </row>
    <row r="17" spans="1:6" x14ac:dyDescent="0.25">
      <c r="A17" s="7" t="s">
        <v>123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MID(A17, FIND("-", A17, FIND("-", A17, FIND("-", A17, FIND("-", A17) + 1) + 1) + 1) + 1, LEN(A17) - FIND("-", A17, FIND("-", A17, FIND("-", A17, FIND("-", A17) + 1) + 1) + 1))</f>
        <v>24</v>
      </c>
    </row>
    <row r="18" spans="1:6" x14ac:dyDescent="0.25">
      <c r="A18" s="7" t="s">
        <v>124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125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126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127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128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129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130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131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132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133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134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135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136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137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138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139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140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141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142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143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144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145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146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147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148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149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150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151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113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114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115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116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117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118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119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120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121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168</v>
      </c>
    </row>
    <row r="2" spans="1:3" ht="18.75" x14ac:dyDescent="0.3">
      <c r="B2" s="39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154</v>
      </c>
      <c r="B7" s="1" t="s">
        <v>181</v>
      </c>
    </row>
    <row r="10" spans="1:3" ht="23.25" x14ac:dyDescent="0.35">
      <c r="A10" s="17" t="s">
        <v>163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 t="e">
        <v>#N/A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 t="e">
        <v>#N/A</v>
      </c>
    </row>
    <row r="22" spans="1:3" ht="15" x14ac:dyDescent="0.25">
      <c r="B22" s="16" t="s">
        <v>160</v>
      </c>
      <c r="C22" s="24">
        <f t="array" ref="C22">SUM(_xlfn.IFNA(C12:C21,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7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176</v>
      </c>
    </row>
    <row r="3" spans="1:14" ht="15" x14ac:dyDescent="0.25">
      <c r="B3" s="1" t="s">
        <v>152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154</v>
      </c>
      <c r="B5" s="1"/>
    </row>
    <row r="6" spans="1:14" ht="15" x14ac:dyDescent="0.25">
      <c r="A6" s="3"/>
      <c r="B6" s="1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INDEX($A$9:$J$18, MATCH(INDEX($M$9:$N$18, MATCH(A23, $M$9:$M$18, 0), 2), $A$9:$A$18, 0), MATCH(INDEX($M$9:$N$18, MATCH(B23, $M$9:$M$18, 0), 2), $A$9:$A$18, 0))</f>
        <v>95</v>
      </c>
    </row>
    <row r="24" spans="1:14" ht="15" x14ac:dyDescent="0.25">
      <c r="A24" s="7">
        <v>10100</v>
      </c>
      <c r="B24" s="11">
        <v>10104</v>
      </c>
      <c r="C24" s="43">
        <f t="shared" ref="C24:C35" si="0">INDEX($A$9:$J$18, MATCH(INDEX($M$9:$N$18, MATCH(A24, $M$9:$M$18, 0), 2), $A$9:$A$18, 0), MATCH(INDEX($M$9:$N$18, MATCH(B24, $M$9:$M$18, 0), 2), $A$9:$A$18, 0))</f>
        <v>-1</v>
      </c>
    </row>
    <row r="25" spans="1:14" ht="15" x14ac:dyDescent="0.25">
      <c r="A25" s="7">
        <v>10108</v>
      </c>
      <c r="B25" s="11">
        <v>10102</v>
      </c>
      <c r="C25" s="43">
        <f t="shared" si="0"/>
        <v>160</v>
      </c>
    </row>
    <row r="26" spans="1:14" ht="15" x14ac:dyDescent="0.25">
      <c r="A26" s="7">
        <v>10100</v>
      </c>
      <c r="B26" s="11">
        <v>10106</v>
      </c>
      <c r="C26" s="43">
        <f t="shared" si="0"/>
        <v>185</v>
      </c>
    </row>
    <row r="27" spans="1:14" ht="15" x14ac:dyDescent="0.25">
      <c r="A27" s="7">
        <v>10108</v>
      </c>
      <c r="B27" s="11">
        <v>10110</v>
      </c>
      <c r="C27" s="43">
        <f t="shared" si="0"/>
        <v>50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70</v>
      </c>
    </row>
    <row r="30" spans="1:14" ht="15" x14ac:dyDescent="0.25">
      <c r="A30" s="7">
        <v>10102</v>
      </c>
      <c r="B30" s="11">
        <v>10106</v>
      </c>
      <c r="C30" s="43">
        <f t="shared" si="0"/>
        <v>90</v>
      </c>
    </row>
    <row r="31" spans="1:14" ht="15" x14ac:dyDescent="0.25">
      <c r="A31" s="7">
        <v>10110</v>
      </c>
      <c r="B31" s="11">
        <v>10114</v>
      </c>
      <c r="C31" s="43">
        <f t="shared" si="0"/>
        <v>180</v>
      </c>
    </row>
    <row r="32" spans="1:14" ht="15" x14ac:dyDescent="0.25">
      <c r="A32" s="7">
        <v>10104</v>
      </c>
      <c r="B32" s="11">
        <v>10106</v>
      </c>
      <c r="C32" s="43">
        <f t="shared" si="0"/>
        <v>60</v>
      </c>
    </row>
    <row r="33" spans="1:3" ht="15" x14ac:dyDescent="0.25">
      <c r="A33" s="7">
        <v>10110</v>
      </c>
      <c r="B33" s="11">
        <v>10112</v>
      </c>
      <c r="C33" s="43">
        <f t="shared" si="0"/>
        <v>115</v>
      </c>
    </row>
    <row r="34" spans="1:3" ht="15" x14ac:dyDescent="0.25">
      <c r="A34" s="7">
        <v>10100</v>
      </c>
      <c r="B34" s="11">
        <v>10114</v>
      </c>
      <c r="C34" s="43">
        <f t="shared" si="0"/>
        <v>480</v>
      </c>
    </row>
    <row r="35" spans="1:3" ht="15" x14ac:dyDescent="0.25">
      <c r="A35" s="9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2023-12-10T16:10:40Z</dcterms:modified>
</cp:coreProperties>
</file>